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<sst xmlns="http://schemas.openxmlformats.org/spreadsheetml/2006/main" count="153" uniqueCount="108">
  <si>
    <t xml:space="preserve">Параметр</t>
  </si>
  <si>
    <t xml:space="preserve">250 Гц</t>
  </si>
  <si>
    <t xml:space="preserve">500 Гц</t>
  </si>
  <si>
    <t xml:space="preserve">1000 Гц</t>
  </si>
  <si>
    <t xml:space="preserve">2000 Гц</t>
  </si>
  <si>
    <t xml:space="preserve">4000 Гц</t>
  </si>
  <si>
    <t xml:space="preserve">ki</t>
  </si>
  <si>
    <t xml:space="preserve">ΔAi</t>
  </si>
  <si>
    <t xml:space="preserve">Lsi (тихая речь)</t>
  </si>
  <si>
    <t xml:space="preserve">Акустический канал</t>
  </si>
  <si>
    <t xml:space="preserve">Виброканал</t>
  </si>
  <si>
    <t xml:space="preserve">Lc1i (измерено)</t>
  </si>
  <si>
    <t xml:space="preserve">Vc1i</t>
  </si>
  <si>
    <t xml:space="preserve">L(c+u)i (измерено в КТ)</t>
  </si>
  <si>
    <t xml:space="preserve">V(c+u)i</t>
  </si>
  <si>
    <t xml:space="preserve">Lui (шум в КТ)</t>
  </si>
  <si>
    <t xml:space="preserve">Vui</t>
  </si>
  <si>
    <t xml:space="preserve">Δ (номограмма)</t>
  </si>
  <si>
    <t xml:space="preserve">Lc2i</t>
  </si>
  <si>
    <t xml:space="preserve">Vc2i</t>
  </si>
  <si>
    <t xml:space="preserve">ZLi</t>
  </si>
  <si>
    <t xml:space="preserve">Zvi</t>
  </si>
  <si>
    <t xml:space="preserve">Lci</t>
  </si>
  <si>
    <t xml:space="preserve">Vci</t>
  </si>
  <si>
    <t xml:space="preserve">qi</t>
  </si>
  <si>
    <t xml:space="preserve">Qi</t>
  </si>
  <si>
    <t xml:space="preserve">Pi</t>
  </si>
  <si>
    <t xml:space="preserve">Ri</t>
  </si>
  <si>
    <t xml:space="preserve">R_total</t>
  </si>
  <si>
    <t xml:space="preserve">S</t>
  </si>
  <si>
    <t xml:space="preserve">W</t>
  </si>
  <si>
    <t xml:space="preserve">Нормативное значение (W, %)</t>
  </si>
  <si>
    <t xml:space="preserve">Постоянные (справочные) параметры</t>
  </si>
  <si>
    <t xml:space="preserve">Предельно допустимая разборчивость</t>
  </si>
  <si>
    <t xml:space="preserve">75–87</t>
  </si>
  <si>
    <t xml:space="preserve">Что это</t>
  </si>
  <si>
    <t xml:space="preserve">Откуда брать</t>
  </si>
  <si>
    <t xml:space="preserve">Удовлетворительная</t>
  </si>
  <si>
    <t xml:space="preserve">87–93</t>
  </si>
  <si>
    <t xml:space="preserve">Весовой коэффициент вклада октавной полосы в разборчивость (вероятность наличия формант в этой полосе)</t>
  </si>
  <si>
    <t xml:space="preserve">Таблица 1.2 (стр. 8 методички) — постоянная величина</t>
  </si>
  <si>
    <t xml:space="preserve">Хорошая</t>
  </si>
  <si>
    <t xml:space="preserve">93–98</t>
  </si>
  <si>
    <t xml:space="preserve">Формантный параметр (энергетическая избыточность речи в дБ)</t>
  </si>
  <si>
    <t xml:space="preserve">Таблица 1.2 (стр. 8) — постоянная величина</t>
  </si>
  <si>
    <t xml:space="preserve">Отличная</t>
  </si>
  <si>
    <t xml:space="preserve">&gt;98</t>
  </si>
  <si>
    <t xml:space="preserve">Типовой интегральный уровень речи в дБ (измеренный на расстоянии 1 м от говорящего)</t>
  </si>
  <si>
    <t xml:space="preserve">Таблица 2.2 (стр. 26) — выбирается в зависимости от громкости речи</t>
  </si>
  <si>
    <t xml:space="preserve">Акустический канал (измерения и расчёт)</t>
  </si>
  <si>
    <t xml:space="preserve">Виброакустический канал (измерения и расчёт)</t>
  </si>
  <si>
    <t xml:space="preserve">Краткая шпаргалка (что откуда)</t>
  </si>
  <si>
    <t xml:space="preserve">Откуда брать / как получить</t>
  </si>
  <si>
    <t xml:space="preserve">Действие</t>
  </si>
  <si>
    <t xml:space="preserve">Что получаем</t>
  </si>
  <si>
    <t xml:space="preserve">Lc1i</t>
  </si>
  <si>
    <t xml:space="preserve">Уровень акустического сигнала в защищаемом помещении (у источника)</t>
  </si>
  <si>
    <t xml:space="preserve">Измерение микрофоном в помещении, где говорят</t>
  </si>
  <si>
    <t xml:space="preserve">Уровень вибрационного сигнала в защищаемом помещении (на элементе конструкции)</t>
  </si>
  <si>
    <t xml:space="preserve">Измерение вибродатчиком (акселерометром) в помещении, где говорят</t>
  </si>
  <si>
    <t xml:space="preserve">Измерили в защищаемом помещении</t>
  </si>
  <si>
    <t xml:space="preserve">Lc1i, Vc1i</t>
  </si>
  <si>
    <t xml:space="preserve">L(c+u)i</t>
  </si>
  <si>
    <t xml:space="preserve">Уровень «сигнал + шум» в контрольной точке (за преградой, где может быть перехват)</t>
  </si>
  <si>
    <t xml:space="preserve">Измерение микрофоном в контрольной точке</t>
  </si>
  <si>
    <t xml:space="preserve">Уровень «вибрация + шум» в контрольной точке (на внешней стороне преграды)</t>
  </si>
  <si>
    <t xml:space="preserve">Измерение вибродатчиком в контрольной точке</t>
  </si>
  <si>
    <t xml:space="preserve">Измерили в контрольной точке (с сигналом)</t>
  </si>
  <si>
    <t xml:space="preserve">L(c+u)i, V(c+u)i</t>
  </si>
  <si>
    <t xml:space="preserve">Lui</t>
  </si>
  <si>
    <t xml:space="preserve">Уровень акустического шума в контрольной точке (без сигнала)</t>
  </si>
  <si>
    <t xml:space="preserve">Измерение при выключенном источнике сигнала</t>
  </si>
  <si>
    <t xml:space="preserve">Уровень вибрационного шума в контрольной точке (без сигнала)</t>
  </si>
  <si>
    <t xml:space="preserve">Измерили в контрольной точке (без сигнала)</t>
  </si>
  <si>
    <t xml:space="preserve">Lui, Vui</t>
  </si>
  <si>
    <t xml:space="preserve">Поправка для выделения полезного сигнала из смеси «сигнал+шум»</t>
  </si>
  <si>
    <t xml:space="preserve">Номограмма (рис. 2.4) — зависит от разности L(c+u)i − Lui</t>
  </si>
  <si>
    <t xml:space="preserve">Поправка для выделения полезного вибрационного сигнала из смеси «сигнал+шум»</t>
  </si>
  <si>
    <t xml:space="preserve">Номограмма (рис. 2.4) — та же, что для акустики</t>
  </si>
  <si>
    <t xml:space="preserve">Взяли из номограммы (рис. 2.4)</t>
  </si>
  <si>
    <t xml:space="preserve">Δ</t>
  </si>
  <si>
    <t xml:space="preserve">Уровень сигнала в контрольной точке после вычитания шума</t>
  </si>
  <si>
    <t xml:space="preserve">Уровень вибрационного сигнала в контрольной точке после вычитания шума</t>
  </si>
  <si>
    <t xml:space="preserve">Взяли из таблицы 1.2</t>
  </si>
  <si>
    <t xml:space="preserve">ki, ΔAi</t>
  </si>
  <si>
    <t xml:space="preserve">Коэффициент затухания тракта (потери сигнала при прохождении через преграду)</t>
  </si>
  <si>
    <t xml:space="preserve">ZVi</t>
  </si>
  <si>
    <t xml:space="preserve">Коэффициент затухания вибрационного сигнала (потери при распространении по конструкции)</t>
  </si>
  <si>
    <t xml:space="preserve">Взяли из таблицы 2.2</t>
  </si>
  <si>
    <t xml:space="preserve">Lsi</t>
  </si>
  <si>
    <t xml:space="preserve">Уровень речевого сигнала в контрольной точке для реальной речи (с учётом типового уровня Lsi)</t>
  </si>
  <si>
    <t xml:space="preserve">Уровень вибрации в контрольной точке для реальной речи (с учётом типового уровня Lsi)</t>
  </si>
  <si>
    <t xml:space="preserve">Рассчитали по формулам</t>
  </si>
  <si>
    <t xml:space="preserve">Lc2i, ZLi, Lci, qi, Qi, Pi, Ri, R_total</t>
  </si>
  <si>
    <t xml:space="preserve">Отношение «сигнал/шум» в дБ</t>
  </si>
  <si>
    <t xml:space="preserve">Рассчитали по формулам (S, W)</t>
  </si>
  <si>
    <t xml:space="preserve">S, W</t>
  </si>
  <si>
    <t xml:space="preserve">Относительный уровень интенсивности формант (с учётом избыточности речи)</t>
  </si>
  <si>
    <t xml:space="preserve">Сравнили W с таблицей 1.1</t>
  </si>
  <si>
    <t xml:space="preserve">Вывод о защищённости</t>
  </si>
  <si>
    <t xml:space="preserve">Коэффициент восприятия формант (вероятность правильного приёма формант в данной полосе)</t>
  </si>
  <si>
    <t xml:space="preserve">Формула (1.5) или график (рис. 1.5) — зависит от Qi</t>
  </si>
  <si>
    <t xml:space="preserve">Октавный индекс артикуляции (вклад данной полосы в общую разборчивость)</t>
  </si>
  <si>
    <t xml:space="preserve">Интегральный индекс артикуляции (формантная разборчивость)</t>
  </si>
  <si>
    <t xml:space="preserve">Слоговая разборчивость</t>
  </si>
  <si>
    <t xml:space="preserve">Формула (1.7) или график (рис. 1.6) — зависит от R_total</t>
  </si>
  <si>
    <t xml:space="preserve">Словесная разборчивость (итоговый показатель защищённости)</t>
  </si>
  <si>
    <t xml:space="preserve">Формула (1.8) или (1.9) или график (рис. 1.7) — зависит от S или R_total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</si>
</sst>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b val="true"/>
      <sz val="10"/>
      <name val="Arial"/>
      <family val="2"/>
    </font>
    <font>
      <b val="true"/>
      <sz val="16"/>
      <name val="Times New Roman"/>
      <family val="1"/>
    </font>
    <font>
      <b val="true"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9"/>
  <sheetViews>
    <sheetView showFormulas="false" showGridLines="true" showRowColHeaders="true" showZeros="true" rightToLeft="false" tabSelected="true" showOutlineSymbols="true" defaultGridColor="true" view="normal" topLeftCell="D1" colorId="64" zoomScale="130" zoomScaleNormal="130" zoomScalePageLayoutView="100" workbookViewId="0">
      <selection pane="topLeft" activeCell="H35" activeCellId="0" sqref="H3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8"/>
    <col collapsed="false" customWidth="true" hidden="false" outlineLevel="0" max="2" min="2" style="0" width="22.15"/>
    <col collapsed="false" customWidth="true" hidden="false" outlineLevel="0" max="3" min="3" style="0" width="21.72"/>
    <col collapsed="false" customWidth="true" hidden="false" outlineLevel="0" max="4" min="4" style="0" width="21.4"/>
    <col collapsed="false" customWidth="true" hidden="false" outlineLevel="0" max="5" min="5" style="0" width="23.54"/>
    <col collapsed="false" customWidth="true" hidden="false" outlineLevel="0" max="6" min="6" style="0" width="22.36"/>
    <col collapsed="false" customWidth="true" hidden="false" outlineLevel="0" max="7" min="7" style="0" width="15.19"/>
    <col collapsed="false" customWidth="true" hidden="false" outlineLevel="0" max="9" min="8" style="0" width="24.29"/>
    <col collapsed="false" customWidth="true" hidden="false" outlineLevel="0" max="10" min="10" style="0" width="24.61"/>
    <col collapsed="false" customWidth="true" hidden="false" outlineLevel="0" max="11" min="11" style="0" width="22.58"/>
    <col collapsed="false" customWidth="true" hidden="false" outlineLevel="0" max="12" min="12" style="0" width="24.29"/>
    <col collapsed="false" customWidth="true" hidden="false" outlineLevel="0" max="13" min="13" style="0" width="23.54"/>
  </cols>
  <sheetData>
    <row r="1" customFormat="false" ht="35.9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</row>
    <row r="2" customFormat="false" ht="12.8" hidden="false" customHeight="false" outlineLevel="0" collapsed="false">
      <c r="A2" s="2" t="s">
        <v>6</v>
      </c>
      <c r="B2" s="2" t="n">
        <v>0.03</v>
      </c>
      <c r="C2" s="2" t="n">
        <v>0.12</v>
      </c>
      <c r="D2" s="2" t="n">
        <v>0.2</v>
      </c>
      <c r="E2" s="2" t="n">
        <v>0.3</v>
      </c>
      <c r="F2" s="2" t="n">
        <v>0.26</v>
      </c>
      <c r="H2" s="2" t="s">
        <v>6</v>
      </c>
      <c r="I2" s="2" t="n">
        <v>0.03</v>
      </c>
      <c r="J2" s="2" t="n">
        <v>0.12</v>
      </c>
      <c r="K2" s="2" t="n">
        <v>0.2</v>
      </c>
      <c r="L2" s="2" t="n">
        <v>0.3</v>
      </c>
      <c r="M2" s="2" t="n">
        <v>0.26</v>
      </c>
      <c r="N2" s="2"/>
    </row>
    <row r="3" customFormat="false" ht="12.8" hidden="false" customHeight="false" outlineLevel="0" collapsed="false">
      <c r="A3" s="2" t="s">
        <v>7</v>
      </c>
      <c r="B3" s="2" t="n">
        <v>18</v>
      </c>
      <c r="C3" s="2" t="n">
        <v>14</v>
      </c>
      <c r="D3" s="2" t="n">
        <v>9</v>
      </c>
      <c r="E3" s="2" t="n">
        <v>6</v>
      </c>
      <c r="F3" s="2" t="n">
        <v>5</v>
      </c>
      <c r="H3" s="2" t="s">
        <v>7</v>
      </c>
      <c r="I3" s="2" t="n">
        <v>18</v>
      </c>
      <c r="J3" s="2" t="n">
        <v>14</v>
      </c>
      <c r="K3" s="2" t="n">
        <v>9</v>
      </c>
      <c r="L3" s="2" t="n">
        <v>6</v>
      </c>
      <c r="M3" s="2" t="n">
        <v>5</v>
      </c>
      <c r="N3" s="2"/>
    </row>
    <row r="4" customFormat="false" ht="12.8" hidden="false" customHeight="false" outlineLevel="0" collapsed="false">
      <c r="A4" s="2" t="s">
        <v>8</v>
      </c>
      <c r="B4" s="2" t="n">
        <v>60</v>
      </c>
      <c r="C4" s="2" t="n">
        <v>60</v>
      </c>
      <c r="D4" s="2" t="n">
        <v>55</v>
      </c>
      <c r="E4" s="2" t="n">
        <v>50</v>
      </c>
      <c r="F4" s="2" t="n">
        <v>45</v>
      </c>
      <c r="H4" s="2" t="s">
        <v>8</v>
      </c>
      <c r="I4" s="2" t="n">
        <v>60</v>
      </c>
      <c r="J4" s="2" t="n">
        <v>60</v>
      </c>
      <c r="K4" s="2" t="n">
        <v>55</v>
      </c>
      <c r="L4" s="2" t="n">
        <v>50</v>
      </c>
      <c r="M4" s="2" t="n">
        <v>45</v>
      </c>
      <c r="N4" s="2"/>
    </row>
    <row r="5" customFormat="false" ht="28.1" hidden="false" customHeight="true" outlineLevel="0" collapsed="false">
      <c r="A5" s="1" t="s">
        <v>9</v>
      </c>
      <c r="B5" s="3"/>
      <c r="C5" s="3"/>
      <c r="D5" s="3"/>
      <c r="E5" s="3"/>
      <c r="F5" s="3"/>
      <c r="H5" s="4" t="s">
        <v>10</v>
      </c>
      <c r="I5" s="3"/>
      <c r="J5" s="3"/>
      <c r="K5" s="3"/>
      <c r="L5" s="3"/>
      <c r="M5" s="3"/>
    </row>
    <row r="6" customFormat="false" ht="12.8" hidden="false" customHeight="false" outlineLevel="0" collapsed="false">
      <c r="A6" s="2" t="s">
        <v>11</v>
      </c>
      <c r="B6" s="2" t="n">
        <v>80</v>
      </c>
      <c r="C6" s="2" t="n">
        <v>82</v>
      </c>
      <c r="D6" s="2" t="n">
        <v>81</v>
      </c>
      <c r="E6" s="2" t="n">
        <v>78</v>
      </c>
      <c r="F6" s="2" t="n">
        <v>75</v>
      </c>
      <c r="H6" s="2" t="s">
        <v>12</v>
      </c>
      <c r="I6" s="2" t="n">
        <v>80</v>
      </c>
      <c r="J6" s="2" t="n">
        <v>82</v>
      </c>
      <c r="K6" s="2" t="n">
        <v>81</v>
      </c>
      <c r="L6" s="2" t="n">
        <v>78</v>
      </c>
      <c r="M6" s="2" t="n">
        <v>75</v>
      </c>
    </row>
    <row r="7" customFormat="false" ht="25.1" hidden="false" customHeight="true" outlineLevel="0" collapsed="false">
      <c r="A7" s="2" t="s">
        <v>13</v>
      </c>
      <c r="B7" s="2" t="n">
        <v>45</v>
      </c>
      <c r="C7" s="2" t="n">
        <v>48</v>
      </c>
      <c r="D7" s="2" t="n">
        <v>47</v>
      </c>
      <c r="E7" s="2" t="n">
        <v>44</v>
      </c>
      <c r="F7" s="2" t="n">
        <v>41</v>
      </c>
      <c r="H7" s="0" t="s">
        <v>14</v>
      </c>
      <c r="I7" s="2" t="n">
        <v>45</v>
      </c>
      <c r="J7" s="2" t="n">
        <v>48</v>
      </c>
      <c r="K7" s="2" t="n">
        <v>47</v>
      </c>
      <c r="L7" s="2" t="n">
        <v>44</v>
      </c>
      <c r="M7" s="2" t="n">
        <v>41</v>
      </c>
    </row>
    <row r="8" customFormat="false" ht="12.8" hidden="false" customHeight="false" outlineLevel="0" collapsed="false">
      <c r="A8" s="2" t="s">
        <v>15</v>
      </c>
      <c r="B8" s="2" t="n">
        <v>35</v>
      </c>
      <c r="C8" s="2" t="n">
        <v>33</v>
      </c>
      <c r="D8" s="2" t="n">
        <v>32</v>
      </c>
      <c r="E8" s="2" t="n">
        <v>31</v>
      </c>
      <c r="F8" s="2" t="n">
        <v>30</v>
      </c>
      <c r="H8" s="0" t="s">
        <v>16</v>
      </c>
      <c r="I8" s="2" t="n">
        <v>35</v>
      </c>
      <c r="J8" s="2" t="n">
        <v>33</v>
      </c>
      <c r="K8" s="2" t="n">
        <v>32</v>
      </c>
      <c r="L8" s="2" t="n">
        <v>31</v>
      </c>
      <c r="M8" s="2" t="n">
        <v>30</v>
      </c>
    </row>
    <row r="9" customFormat="false" ht="12.8" hidden="false" customHeight="false" outlineLevel="0" collapsed="false">
      <c r="A9" s="2" t="s">
        <v>17</v>
      </c>
      <c r="B9" s="2" t="n">
        <v>3</v>
      </c>
      <c r="C9" s="2" t="n">
        <v>3</v>
      </c>
      <c r="D9" s="2" t="n">
        <v>3</v>
      </c>
      <c r="E9" s="2" t="n">
        <v>3</v>
      </c>
      <c r="F9" s="2" t="n">
        <v>3</v>
      </c>
      <c r="H9" s="0" t="s">
        <v>17</v>
      </c>
      <c r="I9" s="2" t="n">
        <v>3</v>
      </c>
      <c r="J9" s="2" t="n">
        <v>3</v>
      </c>
      <c r="K9" s="2" t="n">
        <v>3</v>
      </c>
      <c r="L9" s="2" t="n">
        <v>3</v>
      </c>
      <c r="M9" s="2" t="n">
        <v>3</v>
      </c>
    </row>
    <row r="10" customFormat="false" ht="12.8" hidden="false" customHeight="false" outlineLevel="0" collapsed="false">
      <c r="A10" s="2" t="s">
        <v>18</v>
      </c>
      <c r="B10" s="0" t="n">
        <f aca="false">B7 - B9</f>
        <v>42</v>
      </c>
      <c r="C10" s="0" t="n">
        <f aca="false">C7 - C9</f>
        <v>45</v>
      </c>
      <c r="D10" s="0" t="n">
        <f aca="false">D7 - D9</f>
        <v>44</v>
      </c>
      <c r="E10" s="0" t="n">
        <f aca="false">E7 - E9</f>
        <v>41</v>
      </c>
      <c r="F10" s="0" t="n">
        <f aca="false">F7 - F9</f>
        <v>38</v>
      </c>
      <c r="H10" s="0" t="s">
        <v>19</v>
      </c>
      <c r="I10" s="0" t="n">
        <f aca="false">I7 - I9</f>
        <v>42</v>
      </c>
      <c r="J10" s="0" t="n">
        <f aca="false">J7 - J9</f>
        <v>45</v>
      </c>
      <c r="K10" s="0" t="n">
        <f aca="false">K7 - K9</f>
        <v>44</v>
      </c>
      <c r="L10" s="0" t="n">
        <f aca="false">L7 - L9</f>
        <v>41</v>
      </c>
      <c r="M10" s="0" t="n">
        <f aca="false">M7 - M9</f>
        <v>38</v>
      </c>
    </row>
    <row r="11" customFormat="false" ht="12.8" hidden="false" customHeight="false" outlineLevel="0" collapsed="false">
      <c r="A11" s="2" t="s">
        <v>20</v>
      </c>
      <c r="B11" s="0" t="n">
        <f aca="false">B6 - B10</f>
        <v>38</v>
      </c>
      <c r="C11" s="0" t="n">
        <f aca="false">C6 - C10</f>
        <v>37</v>
      </c>
      <c r="D11" s="0" t="n">
        <f aca="false">D6 - D10</f>
        <v>37</v>
      </c>
      <c r="E11" s="0" t="n">
        <f aca="false">E6 - E10</f>
        <v>37</v>
      </c>
      <c r="F11" s="0" t="n">
        <f aca="false">F6 - F10</f>
        <v>37</v>
      </c>
      <c r="H11" s="0" t="s">
        <v>21</v>
      </c>
      <c r="I11" s="0" t="n">
        <f aca="false">I6 - I10</f>
        <v>38</v>
      </c>
      <c r="J11" s="0" t="n">
        <f aca="false">J6 - J10</f>
        <v>37</v>
      </c>
      <c r="K11" s="0" t="n">
        <f aca="false">K6 - K10</f>
        <v>37</v>
      </c>
      <c r="L11" s="0" t="n">
        <f aca="false">L6 - L10</f>
        <v>37</v>
      </c>
      <c r="M11" s="0" t="n">
        <f aca="false">M6 - M10</f>
        <v>37</v>
      </c>
    </row>
    <row r="12" customFormat="false" ht="12.8" hidden="false" customHeight="false" outlineLevel="0" collapsed="false">
      <c r="A12" s="2" t="s">
        <v>22</v>
      </c>
      <c r="B12" s="0" t="n">
        <f aca="false">B4 - B11</f>
        <v>22</v>
      </c>
      <c r="C12" s="0" t="n">
        <f aca="false">C4 - C11</f>
        <v>23</v>
      </c>
      <c r="D12" s="0" t="n">
        <f aca="false">D4 - D11</f>
        <v>18</v>
      </c>
      <c r="E12" s="0" t="n">
        <f aca="false">E4 - E11</f>
        <v>13</v>
      </c>
      <c r="F12" s="0" t="n">
        <f aca="false">F4 - F11</f>
        <v>8</v>
      </c>
      <c r="H12" s="0" t="s">
        <v>23</v>
      </c>
      <c r="I12" s="0" t="n">
        <f aca="false">I4 - I11</f>
        <v>22</v>
      </c>
      <c r="J12" s="0" t="n">
        <f aca="false">J4 - J11</f>
        <v>23</v>
      </c>
      <c r="K12" s="0" t="n">
        <f aca="false">K4 - K11</f>
        <v>18</v>
      </c>
      <c r="L12" s="0" t="n">
        <f aca="false">L4 - L11</f>
        <v>13</v>
      </c>
      <c r="M12" s="0" t="n">
        <f aca="false">M4 - M11</f>
        <v>8</v>
      </c>
    </row>
    <row r="13" customFormat="false" ht="12.8" hidden="false" customHeight="false" outlineLevel="0" collapsed="false">
      <c r="A13" s="2" t="s">
        <v>24</v>
      </c>
      <c r="B13" s="0" t="n">
        <f aca="false">B12 - B8</f>
        <v>-13</v>
      </c>
      <c r="C13" s="0" t="n">
        <f aca="false">C12 - C8</f>
        <v>-10</v>
      </c>
      <c r="D13" s="0" t="n">
        <f aca="false">D12 - D8</f>
        <v>-14</v>
      </c>
      <c r="E13" s="0" t="n">
        <f aca="false">E12 - E8</f>
        <v>-18</v>
      </c>
      <c r="F13" s="0" t="n">
        <f aca="false">F12 - F8</f>
        <v>-22</v>
      </c>
      <c r="H13" s="2" t="s">
        <v>24</v>
      </c>
      <c r="I13" s="0" t="n">
        <f aca="false">I12 - I8</f>
        <v>-13</v>
      </c>
      <c r="J13" s="0" t="n">
        <f aca="false">J12 - J8</f>
        <v>-10</v>
      </c>
      <c r="K13" s="0" t="n">
        <f aca="false">K12 - K8</f>
        <v>-14</v>
      </c>
      <c r="L13" s="0" t="n">
        <f aca="false">L12 - L8</f>
        <v>-18</v>
      </c>
      <c r="M13" s="0" t="n">
        <f aca="false">M12 - M8</f>
        <v>-22</v>
      </c>
    </row>
    <row r="14" customFormat="false" ht="12.8" hidden="false" customHeight="false" outlineLevel="0" collapsed="false">
      <c r="A14" s="2" t="s">
        <v>25</v>
      </c>
      <c r="B14" s="0" t="n">
        <f aca="false">B13 - B3</f>
        <v>-31</v>
      </c>
      <c r="C14" s="0" t="n">
        <f aca="false">C13 - C3</f>
        <v>-24</v>
      </c>
      <c r="D14" s="0" t="n">
        <f aca="false">D13 - D3</f>
        <v>-23</v>
      </c>
      <c r="E14" s="0" t="n">
        <f aca="false">E13 - E3</f>
        <v>-24</v>
      </c>
      <c r="F14" s="0" t="n">
        <f aca="false">F13 - F3</f>
        <v>-27</v>
      </c>
      <c r="H14" s="2" t="s">
        <v>25</v>
      </c>
      <c r="I14" s="0" t="n">
        <f aca="false">I13 - I3</f>
        <v>-31</v>
      </c>
      <c r="J14" s="0" t="n">
        <f aca="false">J13 - J3</f>
        <v>-24</v>
      </c>
      <c r="K14" s="0" t="n">
        <f aca="false">K13 - K3</f>
        <v>-23</v>
      </c>
      <c r="L14" s="0" t="n">
        <f aca="false">L13 - L3</f>
        <v>-24</v>
      </c>
      <c r="M14" s="0" t="n">
        <f aca="false">M13 - M3</f>
        <v>-27</v>
      </c>
    </row>
    <row r="15" customFormat="false" ht="12.8" hidden="false" customHeight="false" outlineLevel="0" collapsed="false">
      <c r="A15" s="0" t="s">
        <v>26</v>
      </c>
      <c r="B15" s="0" t="n">
        <f aca="false">IF(B14&lt;=0,(0.78+5.46*EXP(-4.3*10^-3*(27.3-ABS(B14))^2))/(1+10^(0.1*ABS(B14))),1-(0.78+5.46*EXP(-4.3*10^-3*(27.3-B14)^2))/(1+10^(0.1*B14)))</f>
        <v>0.00470493215267735</v>
      </c>
      <c r="C15" s="0" t="n">
        <f aca="false">IF(C14&lt;=0,(0.78+5.46*EXP(-4.3*10^-3*(27.3-ABS(C14))^2))/(1+10^(0.1*ABS(C14))),1-(0.78+5.46*EXP(-4.3*10^-3*(27.3-C14)^2))/(1+10^(0.1*C14)))</f>
        <v>0.0237529271970073</v>
      </c>
      <c r="D15" s="0" t="n">
        <f aca="false">IF(D14&lt;=0,(0.78+5.46*EXP(-4.3*10^-3*(27.3-ABS(D14))^2))/(1+10^(0.1*ABS(D14))),1-(0.78+5.46*EXP(-4.3*10^-3*(27.3-D14)^2))/(1+10^(0.1*D14)))</f>
        <v>0.0290371022610604</v>
      </c>
      <c r="E15" s="0" t="n">
        <f aca="false">IF(E14&lt;=0,(0.78+5.46*EXP(-4.3*10^-3*(27.3-ABS(E14))^2))/(1+10^(0.1*ABS(E14))),1-(0.78+5.46*EXP(-4.3*10^-3*(27.3-E14)^2))/(1+10^(0.1*E14)))</f>
        <v>0.0237529271970073</v>
      </c>
      <c r="F15" s="0" t="n">
        <f aca="false">IF(F14&lt;=0,(0.78+5.46*EXP(-4.3*10^-3*(27.3-ABS(F14))^2))/(1+10^(0.1*ABS(F14))),1-(0.78+5.46*EXP(-4.3*10^-3*(27.3-F14)^2))/(1+10^(0.1*F14)))</f>
        <v>0.0124214376055733</v>
      </c>
      <c r="H15" s="0" t="s">
        <v>26</v>
      </c>
      <c r="I15" s="0" t="n">
        <f aca="false">IF(I14&lt;=0,(0.78+5.46*EXP(-4.3*10^-3*(27.3-ABS(I14))^2))/(1+10^(0.1*ABS(I14))),1-(0.78+5.46*EXP(-4.3*10^-3*(27.3-I14)^2))/(1+10^(0.1*I14)))</f>
        <v>0.00470493215267735</v>
      </c>
      <c r="J15" s="0" t="n">
        <f aca="false">IF(J14&lt;=0,(0.78+5.46*EXP(-4.3*10^-3*(27.3-ABS(J14))^2))/(1+10^(0.1*ABS(J14))),1-(0.78+5.46*EXP(-4.3*10^-3*(27.3-J14)^2))/(1+10^(0.1*J14)))</f>
        <v>0.0237529271970073</v>
      </c>
      <c r="K15" s="0" t="n">
        <f aca="false">IF(K14&lt;=0,(0.78+5.46*EXP(-4.3*10^-3*(27.3-ABS(K14))^2))/(1+10^(0.1*ABS(K14))),1-(0.78+5.46*EXP(-4.3*10^-3*(27.3-K14)^2))/(1+10^(0.1*K14)))</f>
        <v>0.0290371022610604</v>
      </c>
      <c r="L15" s="0" t="n">
        <f aca="false">IF(L14&lt;=0,(0.78+5.46*EXP(-4.3*10^-3*(27.3-ABS(L14))^2))/(1+10^(0.1*ABS(L14))),1-(0.78+5.46*EXP(-4.3*10^-3*(27.3-L14)^2))/(1+10^(0.1*L14)))</f>
        <v>0.0237529271970073</v>
      </c>
      <c r="M15" s="0" t="n">
        <f aca="false">IF(M14&lt;=0,(0.78+5.46*EXP(-4.3*10^-3*(27.3-ABS(M14))^2))/(1+10^(0.1*ABS(M14))),1-(0.78+5.46*EXP(-4.3*10^-3*(27.3-M14)^2))/(1+10^(0.1*M14)))</f>
        <v>0.0124214376055733</v>
      </c>
    </row>
    <row r="16" customFormat="false" ht="12.8" hidden="false" customHeight="false" outlineLevel="0" collapsed="false">
      <c r="A16" s="2" t="s">
        <v>27</v>
      </c>
      <c r="B16" s="0" t="n">
        <f aca="false">B2 * B15</f>
        <v>0.000141147964580321</v>
      </c>
      <c r="C16" s="0" t="n">
        <f aca="false">C2 * C15</f>
        <v>0.00285035126364088</v>
      </c>
      <c r="D16" s="0" t="n">
        <f aca="false">D2 * D15</f>
        <v>0.00580742045221208</v>
      </c>
      <c r="E16" s="0" t="n">
        <f aca="false">E2 * E15</f>
        <v>0.00712587815910219</v>
      </c>
      <c r="F16" s="0" t="n">
        <f aca="false">F2 * F15</f>
        <v>0.00322957377744906</v>
      </c>
      <c r="H16" s="2" t="s">
        <v>27</v>
      </c>
      <c r="I16" s="0" t="n">
        <f aca="false">I2 * I15</f>
        <v>0.000141147964580321</v>
      </c>
      <c r="J16" s="0" t="n">
        <f aca="false">J2 * J15</f>
        <v>0.00285035126364088</v>
      </c>
      <c r="K16" s="0" t="n">
        <f aca="false">K2 * K15</f>
        <v>0.00580742045221208</v>
      </c>
      <c r="L16" s="0" t="n">
        <f aca="false">L2 * L15</f>
        <v>0.00712587815910219</v>
      </c>
      <c r="M16" s="0" t="n">
        <f aca="false">M2 * M15</f>
        <v>0.00322957377744906</v>
      </c>
    </row>
    <row r="18" customFormat="false" ht="12.8" hidden="false" customHeight="false" outlineLevel="0" collapsed="false">
      <c r="A18" s="2" t="s">
        <v>28</v>
      </c>
      <c r="B18" s="0" t="n">
        <f aca="false">SUM(B16:F16)</f>
        <v>0.0191543716169845</v>
      </c>
      <c r="H18" s="2" t="s">
        <v>28</v>
      </c>
      <c r="I18" s="0" t="n">
        <f aca="false">SUM(I16:M16)</f>
        <v>0.0191543716169845</v>
      </c>
    </row>
    <row r="19" customFormat="false" ht="12.8" hidden="false" customHeight="false" outlineLevel="0" collapsed="false">
      <c r="A19" s="2" t="s">
        <v>29</v>
      </c>
      <c r="B19" s="5" t="n">
        <f aca="false">IF(B18&lt;=0.15, 4*B18^1.43, IF(B18&lt;=0.5, 1.1*(1-1.17*EXP(-2.9*B18)), 1.01*(1-9.1*EXP(-6.9*B18))))</f>
        <v>0.0139863084292844</v>
      </c>
      <c r="H19" s="2" t="s">
        <v>29</v>
      </c>
      <c r="I19" s="5" t="n">
        <f aca="false">IF(I18&lt;=0.15, 4*I18^1.43, IF(I18&lt;=0.5, 1.1*(1-1.17*EXP(-2.9*I18)), 1.01*(1-9.1*EXP(-6.9*I18))))</f>
        <v>0.0139863084292844</v>
      </c>
    </row>
    <row r="20" customFormat="false" ht="12.8" hidden="false" customHeight="false" outlineLevel="0" collapsed="false">
      <c r="A20" s="3" t="s">
        <v>30</v>
      </c>
      <c r="B20" s="0" t="n">
        <f aca="false">IF(B18&lt;=0.15, 1.54*B18^0.25*(1-EXP(-11*B18)), 1-EXP(-11*B18/(1+0.7*B18)))</f>
        <v>0.108842577388345</v>
      </c>
      <c r="H20" s="3" t="s">
        <v>30</v>
      </c>
      <c r="I20" s="0" t="n">
        <f aca="false">IF(I18&lt;=0.15, 1.54*I18^0.25*(1-EXP(-11*I18)), 1-EXP(-11*I18/(1+0.7*I18)))</f>
        <v>0.108842577388345</v>
      </c>
    </row>
    <row r="25" customFormat="false" ht="12.6" hidden="false" customHeight="true" outlineLevel="0" collapsed="false">
      <c r="A25" s="6"/>
    </row>
    <row r="26" customFormat="false" ht="28.1" hidden="false" customHeight="true" outlineLevel="0" collapsed="false">
      <c r="A26" s="7" t="s">
        <v>0</v>
      </c>
      <c r="B26" s="7" t="s">
        <v>31</v>
      </c>
      <c r="C26" s="7"/>
      <c r="D26" s="6" t="s">
        <v>32</v>
      </c>
      <c r="E26" s="6"/>
      <c r="F26" s="6"/>
    </row>
    <row r="27" customFormat="false" ht="35.05" hidden="false" customHeight="false" outlineLevel="0" collapsed="false">
      <c r="A27" s="2" t="s">
        <v>33</v>
      </c>
      <c r="B27" s="2" t="s">
        <v>34</v>
      </c>
      <c r="C27" s="1"/>
      <c r="D27" s="7" t="s">
        <v>0</v>
      </c>
      <c r="E27" s="7" t="s">
        <v>35</v>
      </c>
      <c r="F27" s="7" t="s">
        <v>36</v>
      </c>
    </row>
    <row r="28" customFormat="false" ht="57.45" hidden="false" customHeight="false" outlineLevel="0" collapsed="false">
      <c r="A28" s="2" t="s">
        <v>37</v>
      </c>
      <c r="B28" s="2" t="s">
        <v>38</v>
      </c>
      <c r="C28" s="3"/>
      <c r="D28" s="1" t="s">
        <v>6</v>
      </c>
      <c r="E28" s="2" t="s">
        <v>39</v>
      </c>
      <c r="F28" s="1" t="s">
        <v>40</v>
      </c>
    </row>
    <row r="29" customFormat="false" ht="35.05" hidden="false" customHeight="false" outlineLevel="0" collapsed="false">
      <c r="A29" s="2" t="s">
        <v>41</v>
      </c>
      <c r="B29" s="2" t="s">
        <v>42</v>
      </c>
      <c r="C29" s="3"/>
      <c r="D29" s="1" t="s">
        <v>7</v>
      </c>
      <c r="E29" s="2" t="s">
        <v>43</v>
      </c>
      <c r="F29" s="1" t="s">
        <v>44</v>
      </c>
    </row>
    <row r="30" customFormat="false" ht="46.25" hidden="false" customHeight="false" outlineLevel="0" collapsed="false">
      <c r="A30" s="2" t="s">
        <v>45</v>
      </c>
      <c r="B30" s="2" t="s">
        <v>46</v>
      </c>
      <c r="D30" s="1" t="s">
        <v>8</v>
      </c>
      <c r="E30" s="2" t="s">
        <v>47</v>
      </c>
      <c r="F30" s="1" t="s">
        <v>48</v>
      </c>
    </row>
    <row r="34" customFormat="false" ht="17.35" hidden="false" customHeight="true" outlineLevel="0" collapsed="false">
      <c r="A34" s="8" t="s">
        <v>49</v>
      </c>
      <c r="B34" s="8"/>
      <c r="C34" s="8"/>
      <c r="E34" s="8" t="s">
        <v>50</v>
      </c>
      <c r="F34" s="8"/>
      <c r="G34" s="8"/>
      <c r="I34" s="8" t="s">
        <v>51</v>
      </c>
      <c r="J34" s="8"/>
    </row>
    <row r="35" customFormat="false" ht="23.85" hidden="false" customHeight="false" outlineLevel="0" collapsed="false">
      <c r="A35" s="7" t="s">
        <v>0</v>
      </c>
      <c r="B35" s="7" t="s">
        <v>35</v>
      </c>
      <c r="C35" s="7" t="s">
        <v>52</v>
      </c>
      <c r="E35" s="7" t="s">
        <v>0</v>
      </c>
      <c r="F35" s="7" t="s">
        <v>35</v>
      </c>
      <c r="G35" s="7" t="s">
        <v>52</v>
      </c>
      <c r="I35" s="7" t="s">
        <v>53</v>
      </c>
      <c r="J35" s="7" t="s">
        <v>54</v>
      </c>
    </row>
    <row r="36" customFormat="false" ht="57.45" hidden="false" customHeight="false" outlineLevel="0" collapsed="false">
      <c r="A36" s="1" t="s">
        <v>55</v>
      </c>
      <c r="B36" s="2" t="s">
        <v>56</v>
      </c>
      <c r="C36" s="1" t="s">
        <v>57</v>
      </c>
      <c r="E36" s="1" t="s">
        <v>12</v>
      </c>
      <c r="F36" s="2" t="s">
        <v>58</v>
      </c>
      <c r="G36" s="1" t="s">
        <v>59</v>
      </c>
      <c r="I36" s="2" t="s">
        <v>60</v>
      </c>
      <c r="J36" s="2" t="s">
        <v>61</v>
      </c>
    </row>
    <row r="37" customFormat="false" ht="46.25" hidden="false" customHeight="false" outlineLevel="0" collapsed="false">
      <c r="A37" s="1" t="s">
        <v>62</v>
      </c>
      <c r="B37" s="2" t="s">
        <v>63</v>
      </c>
      <c r="C37" s="1" t="s">
        <v>64</v>
      </c>
      <c r="E37" s="1" t="s">
        <v>14</v>
      </c>
      <c r="F37" s="2" t="s">
        <v>65</v>
      </c>
      <c r="G37" s="1" t="s">
        <v>66</v>
      </c>
      <c r="I37" s="2" t="s">
        <v>67</v>
      </c>
      <c r="J37" s="2" t="s">
        <v>68</v>
      </c>
    </row>
    <row r="38" customFormat="false" ht="46.25" hidden="false" customHeight="false" outlineLevel="0" collapsed="false">
      <c r="A38" s="1" t="s">
        <v>69</v>
      </c>
      <c r="B38" s="2" t="s">
        <v>70</v>
      </c>
      <c r="C38" s="1" t="s">
        <v>71</v>
      </c>
      <c r="E38" s="1" t="s">
        <v>16</v>
      </c>
      <c r="F38" s="2" t="s">
        <v>72</v>
      </c>
      <c r="G38" s="1" t="s">
        <v>71</v>
      </c>
      <c r="I38" s="2" t="s">
        <v>73</v>
      </c>
      <c r="J38" s="2" t="s">
        <v>74</v>
      </c>
    </row>
    <row r="39" customFormat="false" ht="46.25" hidden="false" customHeight="false" outlineLevel="0" collapsed="false">
      <c r="A39" s="1" t="s">
        <v>17</v>
      </c>
      <c r="B39" s="2" t="s">
        <v>75</v>
      </c>
      <c r="C39" s="1" t="s">
        <v>76</v>
      </c>
      <c r="E39" s="1" t="s">
        <v>17</v>
      </c>
      <c r="F39" s="2" t="s">
        <v>77</v>
      </c>
      <c r="G39" s="1" t="s">
        <v>78</v>
      </c>
      <c r="I39" s="2" t="s">
        <v>79</v>
      </c>
      <c r="J39" s="2" t="s">
        <v>80</v>
      </c>
    </row>
    <row r="40" customFormat="false" ht="46.25" hidden="false" customHeight="false" outlineLevel="0" collapsed="false">
      <c r="A40" s="1" t="s">
        <v>18</v>
      </c>
      <c r="B40" s="2" t="s">
        <v>81</v>
      </c>
      <c r="C40" s="2" t="e">
        <f aca="false"> l(c+u)i − Δ</f>
        <v>#N/A</v>
      </c>
      <c r="E40" s="1" t="s">
        <v>19</v>
      </c>
      <c r="F40" s="2" t="s">
        <v>82</v>
      </c>
      <c r="G40" s="2" t="e">
        <f aca="false"> v(c+u)i − Δ</f>
        <v>#N/A</v>
      </c>
      <c r="I40" s="2" t="s">
        <v>83</v>
      </c>
      <c r="J40" s="2" t="s">
        <v>84</v>
      </c>
    </row>
    <row r="41" customFormat="false" ht="57.45" hidden="false" customHeight="false" outlineLevel="0" collapsed="false">
      <c r="A41" s="1" t="s">
        <v>20</v>
      </c>
      <c r="B41" s="2" t="s">
        <v>85</v>
      </c>
      <c r="C41" s="2" t="e">
        <f aca="false"> lc1i − Lc2i</f>
        <v>#N/A</v>
      </c>
      <c r="E41" s="1" t="s">
        <v>86</v>
      </c>
      <c r="F41" s="2" t="s">
        <v>87</v>
      </c>
      <c r="G41" s="2" t="e">
        <f aca="false"> vc1i − Vc2i</f>
        <v>#N/A</v>
      </c>
      <c r="I41" s="2" t="s">
        <v>88</v>
      </c>
      <c r="J41" s="2" t="s">
        <v>89</v>
      </c>
    </row>
    <row r="42" customFormat="false" ht="46.25" hidden="false" customHeight="false" outlineLevel="0" collapsed="false">
      <c r="A42" s="1" t="s">
        <v>22</v>
      </c>
      <c r="B42" s="2" t="s">
        <v>90</v>
      </c>
      <c r="C42" s="2" t="e">
        <f aca="false"> lsi − ZLi</f>
        <v>#N/A</v>
      </c>
      <c r="E42" s="1" t="s">
        <v>23</v>
      </c>
      <c r="F42" s="2" t="s">
        <v>91</v>
      </c>
      <c r="G42" s="2" t="e">
        <f aca="false"> lsi − ZVi (Lsi — тот же, что в акустике)</f>
        <v>#N/A</v>
      </c>
      <c r="I42" s="2" t="s">
        <v>92</v>
      </c>
      <c r="J42" s="2" t="s">
        <v>93</v>
      </c>
    </row>
    <row r="43" customFormat="false" ht="23.85" hidden="false" customHeight="false" outlineLevel="0" collapsed="false">
      <c r="A43" s="1" t="s">
        <v>24</v>
      </c>
      <c r="B43" s="2" t="s">
        <v>94</v>
      </c>
      <c r="C43" s="2" t="e">
        <f aca="false"> lci − Lui</f>
        <v>#N/A</v>
      </c>
      <c r="I43" s="2" t="s">
        <v>95</v>
      </c>
      <c r="J43" s="2" t="s">
        <v>96</v>
      </c>
    </row>
    <row r="44" customFormat="false" ht="35.05" hidden="false" customHeight="false" outlineLevel="0" collapsed="false">
      <c r="A44" s="1" t="s">
        <v>25</v>
      </c>
      <c r="B44" s="2" t="s">
        <v>97</v>
      </c>
      <c r="C44" s="2" t="e">
        <f aca="false"> qi − ΔAi</f>
        <v>#N/A</v>
      </c>
      <c r="I44" s="2" t="s">
        <v>98</v>
      </c>
      <c r="J44" s="2" t="s">
        <v>99</v>
      </c>
    </row>
    <row r="45" customFormat="false" ht="46.25" hidden="false" customHeight="false" outlineLevel="0" collapsed="false">
      <c r="A45" s="1" t="s">
        <v>26</v>
      </c>
      <c r="B45" s="2" t="s">
        <v>100</v>
      </c>
      <c r="C45" s="1" t="s">
        <v>101</v>
      </c>
    </row>
    <row r="46" customFormat="false" ht="46.25" hidden="false" customHeight="false" outlineLevel="0" collapsed="false">
      <c r="A46" s="1" t="s">
        <v>27</v>
      </c>
      <c r="B46" s="2" t="s">
        <v>102</v>
      </c>
      <c r="C46" s="2" t="e">
        <f aca="false"> ki × Pi</f>
        <v>#N/A</v>
      </c>
    </row>
    <row r="47" customFormat="false" ht="35.05" hidden="false" customHeight="false" outlineLevel="0" collapsed="false">
      <c r="A47" s="1" t="s">
        <v>28</v>
      </c>
      <c r="B47" s="2" t="s">
        <v>103</v>
      </c>
      <c r="C47" s="2" t="e">
        <f aca="false"> SUM(ri) по всем октавам</f>
        <v>#VALUE!</v>
      </c>
    </row>
    <row r="48" customFormat="false" ht="35.05" hidden="false" customHeight="false" outlineLevel="0" collapsed="false">
      <c r="A48" s="1" t="s">
        <v>29</v>
      </c>
      <c r="B48" s="2" t="s">
        <v>104</v>
      </c>
      <c r="C48" s="1" t="s">
        <v>105</v>
      </c>
    </row>
    <row r="49" customFormat="false" ht="35.05" hidden="false" customHeight="false" outlineLevel="0" collapsed="false">
      <c r="A49" s="1" t="s">
        <v>30</v>
      </c>
      <c r="B49" s="2" t="s">
        <v>106</v>
      </c>
      <c r="C49" s="1" t="s">
        <v>107</v>
      </c>
    </row>
  </sheetData>
  <mergeCells count="4">
    <mergeCell ref="D26:F26"/>
    <mergeCell ref="A34:C34"/>
    <mergeCell ref="E34:G34"/>
    <mergeCell ref="I34:J3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2026-05-20T12:51:10Z</dcterms:created>
  <dc:creator/>
  <dc:description/>
  <dc:language>ru-RU</dc:language>
  <cp:lastModifiedBy/>
  <dcterms:modified xsi:type="dcterms:W3CDTF">2026-05-20T13:41:06Z</dcterms:modified>
  <cp:revision>7</cp:revision>
  <dc:subject/>
  <dc:title/>
</cp:coreProperties>
</file>